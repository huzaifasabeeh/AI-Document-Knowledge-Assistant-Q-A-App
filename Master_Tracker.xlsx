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3adb0a18a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tracker" sheetId="1" r:id="Re55042aafda448ab"/>
    <x:sheet xmlns:r="http://schemas.openxmlformats.org/officeDocument/2006/relationships" name="KPI register" sheetId="2" r:id="Rfd5898c431fc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7950b7a6248fd" /><Relationship Type="http://schemas.openxmlformats.org/officeDocument/2006/relationships/theme" Target="/xl/theme/theme1.xml" Id="R04199ba248824015" /><Relationship Type="http://schemas.openxmlformats.org/officeDocument/2006/relationships/sharedStrings" Target="/xl/sharedStrings.xml" Id="R04ed58d33496442d" /><Relationship Type="http://schemas.openxmlformats.org/officeDocument/2006/relationships/worksheet" Target="/xl/worksheets/sheet1.xml" Id="Re55042aafda448ab" /><Relationship Type="http://schemas.openxmlformats.org/officeDocument/2006/relationships/worksheet" Target="/xl/worksheets/sheet2.xml" Id="Rfd5898c431fc45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" hidden="0" customWidth="1"/>
    <x:col min="3" max="3" width="17" hidden="0" customWidth="1"/>
    <x:col min="4" max="4" width="17" hidden="0" customWidth="1"/>
    <x:col min="5" max="5" width="58" hidden="0" customWidth="1"/>
  </x:cols>
  <x:sheetData>
    <x:row r="1">
      <x:c r="A1" s="6"/>
      <x:c r="B1" s="6"/>
      <x:c r="C1" s="6"/>
      <x:c r="D1" s="6"/>
      <x:c r="E1" s="6"/>
    </x:row>
    <x:row r="2">
      <x:c r="A2" s="8" t="str">
        <x:v>Week 1 master tracker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>
      <x:c r="A4" s="6" t="str">
        <x:v>Prepared tasks complete</x:v>
      </x:c>
      <x:c r="B4" s="6"/>
      <x:c r="C4" s="6" t="n">
        <x:f>COUNTIF(D8:D17,"Complete")</x:f>
        <x:v>10</x:v>
      </x:c>
      <x:c r="D4" s="6" t="str">
        <x:v>of 10 preparation tasks</x:v>
      </x:c>
      <x:c r="E4" s="6"/>
    </x:row>
    <x:row r="5">
      <x:c r="A5" s="6" t="str">
        <x:v>Reviewer sign-off</x:v>
      </x:c>
      <x:c r="B5" s="6"/>
      <x:c r="C5" s="6" t="str">
        <x:f>D18</x:f>
        <x:v>Pending</x:v>
      </x:c>
      <x:c r="D5" s="6"/>
      <x:c r="E5" s="6"/>
    </x:row>
    <x:row r="6">
      <x:c r="A6" s="6"/>
      <x:c r="B6" s="6"/>
      <x:c r="C6" s="6"/>
      <x:c r="D6" s="6"/>
      <x:c r="E6" s="6"/>
    </x:row>
    <x:row r="7" ht="32" customHeight="1">
      <x:c r="A7" s="22" t="str">
        <x:v>ID</x:v>
      </x:c>
      <x:c r="B7" s="22" t="str">
        <x:v>Activity</x:v>
      </x:c>
      <x:c r="C7" s="22" t="str">
        <x:v>Stage</x:v>
      </x:c>
      <x:c r="D7" s="22" t="str">
        <x:v>Status</x:v>
      </x:c>
      <x:c r="E7" s="22" t="str">
        <x:v>Evidence or next action</x:v>
      </x:c>
    </x:row>
    <x:row r="8" ht="42" customHeight="1">
      <x:c r="A8" s="7" t="str">
        <x:v>W1-01</x:v>
      </x:c>
      <x:c r="B8" s="7" t="str">
        <x:v>Confirm upload and chat workflow</x:v>
      </x:c>
      <x:c r="C8" s="7" t="str">
        <x:v>Week 1</x:v>
      </x:c>
      <x:c r="D8" s="7" t="str">
        <x:v>Complete</x:v>
      </x:c>
      <x:c r="E8" s="7" t="str">
        <x:v>User clarification</x:v>
      </x:c>
    </x:row>
    <x:row r="9" ht="42" customHeight="1">
      <x:c r="A9" s="7" t="str">
        <x:v>W1-02</x:v>
      </x:c>
      <x:c r="B9" s="7" t="str">
        <x:v>Prepare charter and scope</x:v>
      </x:c>
      <x:c r="C9" s="7" t="str">
        <x:v>Week 1</x:v>
      </x:c>
      <x:c r="D9" s="7" t="str">
        <x:v>Complete</x:v>
      </x:c>
      <x:c r="E9" s="7" t="str">
        <x:v>docs/01_project_charter.md</x:v>
      </x:c>
    </x:row>
    <x:row r="10" ht="42" customHeight="1">
      <x:c r="A10" s="7" t="str">
        <x:v>W1-03</x:v>
      </x:c>
      <x:c r="B10" s="7" t="str">
        <x:v>Specify requirements R01 to R09</x:v>
      </x:c>
      <x:c r="C10" s="7" t="str">
        <x:v>Week 1</x:v>
      </x:c>
      <x:c r="D10" s="7" t="str">
        <x:v>Complete</x:v>
      </x:c>
      <x:c r="E10" s="7" t="str">
        <x:v>docs/02_requirements_and_acceptance_criteria.md</x:v>
      </x:c>
    </x:row>
    <x:row r="11" ht="42" customHeight="1">
      <x:c r="A11" s="7" t="str">
        <x:v>W1-04</x:v>
      </x:c>
      <x:c r="B11" s="7" t="str">
        <x:v>Review official technical sources</x:v>
      </x:c>
      <x:c r="C11" s="7" t="str">
        <x:v>Week 1</x:v>
      </x:c>
      <x:c r="D11" s="7" t="str">
        <x:v>Complete</x:v>
      </x:c>
      <x:c r="E11" s="7" t="str">
        <x:v>Report source register</x:v>
      </x:c>
    </x:row>
    <x:row r="12" ht="42" customHeight="1">
      <x:c r="A12" s="7" t="str">
        <x:v>W1-05</x:v>
      </x:c>
      <x:c r="B12" s="7" t="str">
        <x:v>Define baseline and measurement protocol</x:v>
      </x:c>
      <x:c r="C12" s="7" t="str">
        <x:v>Week 1</x:v>
      </x:c>
      <x:c r="D12" s="7" t="str">
        <x:v>Complete</x:v>
      </x:c>
      <x:c r="E12" s="7" t="str">
        <x:v>Report and evaluation folder</x:v>
      </x:c>
    </x:row>
    <x:row r="13" ht="42" customHeight="1">
      <x:c r="A13" s="7" t="str">
        <x:v>W1-06</x:v>
      </x:c>
      <x:c r="B13" s="7" t="str">
        <x:v>Create synthetic sample documents</x:v>
      </x:c>
      <x:c r="C13" s="7" t="str">
        <x:v>Week 1</x:v>
      </x:c>
      <x:c r="D13" s="7" t="str">
        <x:v>Complete</x:v>
      </x:c>
      <x:c r="E13" s="7" t="str">
        <x:v>data/sample: 3 text files</x:v>
      </x:c>
    </x:row>
    <x:row r="14" ht="42" customHeight="1">
      <x:c r="A14" s="7" t="str">
        <x:v>W1-07</x:v>
      </x:c>
      <x:c r="B14" s="7" t="str">
        <x:v>Create labeled sample questions</x:v>
      </x:c>
      <x:c r="C14" s="7" t="str">
        <x:v>Week 1</x:v>
      </x:c>
      <x:c r="D14" s="7" t="str">
        <x:v>Complete</x:v>
      </x:c>
      <x:c r="E14" s="7" t="str">
        <x:v>12 questions; 9 answerable</x:v>
      </x:c>
    </x:row>
    <x:row r="15" ht="42" customHeight="1">
      <x:c r="A15" s="7" t="str">
        <x:v>W1-08</x:v>
      </x:c>
      <x:c r="B15" s="7" t="str">
        <x:v>Execute sample retrieval baseline</x:v>
      </x:c>
      <x:c r="C15" s="7" t="str">
        <x:v>Week 1</x:v>
      </x:c>
      <x:c r="D15" s="7" t="str">
        <x:v>Complete</x:v>
      </x:c>
      <x:c r="E15" s="7" t="str">
        <x:v>9 of 9 top-three retrieval hits</x:v>
      </x:c>
    </x:row>
    <x:row r="16" ht="42" customHeight="1">
      <x:c r="A16" s="7" t="str">
        <x:v>W1-09</x:v>
      </x:c>
      <x:c r="B16" s="7" t="str">
        <x:v>Define KPIs and held-out evaluation</x:v>
      </x:c>
      <x:c r="C16" s="7" t="str">
        <x:v>Week 1</x:v>
      </x:c>
      <x:c r="D16" s="7" t="str">
        <x:v>Complete</x:v>
      </x:c>
      <x:c r="E16" s="7" t="str">
        <x:v>KPI register and report</x:v>
      </x:c>
    </x:row>
    <x:row r="17" ht="42" customHeight="1">
      <x:c r="A17" s="7" t="str">
        <x:v>W1-10</x:v>
      </x:c>
      <x:c r="B17" s="7" t="str">
        <x:v>Prepare workspace and report</x:v>
      </x:c>
      <x:c r="C17" s="7" t="str">
        <x:v>Week 1</x:v>
      </x:c>
      <x:c r="D17" s="7" t="str">
        <x:v>Complete</x:v>
      </x:c>
      <x:c r="E17" s="7" t="str">
        <x:v>Workspace package</x:v>
      </x:c>
    </x:row>
    <x:row r="18" ht="42" customHeight="1">
      <x:c r="A18" s="7" t="str">
        <x:v>W1-11</x:v>
      </x:c>
      <x:c r="B18" s="7" t="str">
        <x:v>Record reviewer scope approval</x:v>
      </x:c>
      <x:c r="C18" s="7" t="str">
        <x:v>Review</x:v>
      </x:c>
      <x:c r="D18" s="7" t="str">
        <x:v>Pending</x:v>
      </x:c>
      <x:c r="E18" s="7" t="str">
        <x:v>Reviewer confirmation not recorded</x:v>
      </x:c>
    </x:row>
    <x:row r="19" ht="42" customHeight="1">
      <x:c r="A19" s="7" t="str">
        <x:v>W2-01</x:v>
      </x:c>
      <x:c r="B19" s="7" t="str">
        <x:v>Build ingestion and RAG pipeline</x:v>
      </x:c>
      <x:c r="C19" s="7" t="str">
        <x:v>Week 2</x:v>
      </x:c>
      <x:c r="D19" s="7" t="str">
        <x:v>Not started</x:v>
      </x:c>
      <x:c r="E19" s="7" t="str">
        <x:v>Implementation work</x:v>
      </x:c>
    </x:row>
    <x:row r="20" ht="42" customHeight="1">
      <x:c r="A20" s="7" t="str">
        <x:v>W2-02</x:v>
      </x:c>
      <x:c r="B20" s="7" t="str">
        <x:v>Validate PDF citations and failures</x:v>
      </x:c>
      <x:c r="C20" s="7" t="str">
        <x:v>Week 2</x:v>
      </x:c>
      <x:c r="D20" s="7" t="str">
        <x:v>Not started</x:v>
      </x:c>
      <x:c r="E20" s="7" t="str">
        <x:v>Requirements acceptance cases</x:v>
      </x:c>
    </x:row>
    <x:row r="21" ht="42" customHeight="1">
      <x:c r="A21" s="7" t="str">
        <x:v>W3-01</x:v>
      </x:c>
      <x:c r="B21" s="7" t="str">
        <x:v>Run held-out pilot and isolation tests</x:v>
      </x:c>
      <x:c r="C21" s="7" t="str">
        <x:v>Week 3</x:v>
      </x:c>
      <x:c r="D21" s="7" t="str">
        <x:v>Not started</x:v>
      </x:c>
      <x:c r="E21" s="7" t="str">
        <x:v>40 questions proposed</x:v>
      </x:c>
    </x:row>
    <x:row r="22" ht="42" customHeight="1">
      <x:c r="A22" s="7" t="str">
        <x:v>W4-01</x:v>
      </x:c>
      <x:c r="B22" s="7" t="str">
        <x:v>Deploy and prepare final handoff</x:v>
      </x:c>
      <x:c r="C22" s="7" t="str">
        <x:v>Week 4</x:v>
      </x:c>
      <x:c r="D22" s="7" t="str">
        <x:v>Not started</x:v>
      </x:c>
      <x:c r="E22" s="7" t="str">
        <x:v>SOPs, video, case study</x:v>
      </x:c>
    </x:row>
    <x:row r="24">
      <x:c r="A24" t="str">
        <x:v>Source: supplied project plan, user clarification and delivered package, 16 October 2026.</x:v>
      </x:c>
    </x:row>
  </x:sheetData>
  <x:conditionalFormatting sqref="D8:D22">
    <x:cfRule type="containsText" dxfId="0" priority="1" operator="containsText" text="Pending"/>
  </x:conditionalFormatting>
  <x:dataValidations count="1">
    <x:dataValidation type="list" sqref="D8:D22">
      <x:formula1>"Complete,Pending,Not started,In progress"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5" hidden="0" customWidth="1"/>
    <x:col min="4" max="4" width="12" hidden="0" customWidth="1"/>
    <x:col min="5" max="5" width="20" hidden="0" customWidth="1"/>
    <x:col min="6" max="6" width="65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8" t="str">
        <x:v>Proposed KPI register</x:v>
      </x:c>
      <x:c r="B2" s="6"/>
      <x:c r="C2" s="6"/>
      <x:c r="D2" s="6"/>
      <x:c r="E2" s="6"/>
      <x:c r="F2" s="6"/>
    </x:row>
    <x:row r="3">
      <x:c r="A3" s="6"/>
      <x:c r="B3" s="6"/>
      <x:c r="C3" s="6"/>
      <x:c r="D3" s="6"/>
      <x:c r="E3" s="6"/>
      <x:c r="F3" s="6"/>
    </x:row>
    <x:row r="4">
      <x:c r="A4" s="6" t="str">
        <x:v>Targets are proposals. Blank actuals mean not yet measured on the app.</x:v>
      </x:c>
      <x:c r="B4" s="6"/>
      <x:c r="C4" s="6"/>
      <x:c r="D4" s="6"/>
      <x:c r="E4" s="6"/>
      <x:c r="F4" s="6"/>
    </x:row>
    <x:row r="5">
      <x:c r="A5" s="6"/>
      <x:c r="B5" s="6"/>
      <x:c r="C5" s="6"/>
      <x:c r="D5" s="6"/>
      <x:c r="E5" s="6"/>
      <x:c r="F5" s="6"/>
    </x:row>
    <x:row r="6" ht="32" customHeight="1">
      <x:c r="A6" s="24" t="str">
        <x:v>Metric</x:v>
      </x:c>
      <x:c r="B6" s="24" t="str">
        <x:v>Target</x:v>
      </x:c>
      <x:c r="C6" s="24" t="str">
        <x:v>Unit</x:v>
      </x:c>
      <x:c r="D6" s="24" t="str">
        <x:v>Actual</x:v>
      </x:c>
      <x:c r="E6" s="24" t="str">
        <x:v>Status</x:v>
      </x:c>
      <x:c r="F6" s="24" t="str">
        <x:v>Measurement rule</x:v>
      </x:c>
    </x:row>
    <x:row r="7" ht="42" customHeight="1">
      <x:c r="A7" s="7" t="str">
        <x:v>Answer correctness</x:v>
      </x:c>
      <x:c r="B7" s="17" t="n">
        <x:v>0.8</x:v>
      </x:c>
      <x:c r="C7" s="7" t="str">
        <x:v>proportion</x:v>
      </x:c>
      <x:c r="D7" s="18"/>
      <x:c r="E7" s="7" t="str">
        <x:f>IF(D7="","Not measured",IF(D7&gt;=B7,"Meets target","Below target"))</x:f>
        <x:v>Not measured</x:v>
      </x:c>
      <x:c r="F7" s="7" t="str">
        <x:v>Fully correct supported answers / answerable questions</x:v>
      </x:c>
    </x:row>
    <x:row r="8" ht="42" customHeight="1">
      <x:c r="A8" s="7" t="str">
        <x:v>Citation correctness</x:v>
      </x:c>
      <x:c r="B8" s="17" t="n">
        <x:v>0.95</x:v>
      </x:c>
      <x:c r="C8" s="7" t="str">
        <x:v>proportion</x:v>
      </x:c>
      <x:c r="D8" s="18"/>
      <x:c r="E8" s="7" t="str">
        <x:f>IF(D8="","Not measured",IF(D8&gt;=B8,"Meets target","Below target"))</x:f>
        <x:v>Not measured</x:v>
      </x:c>
      <x:c r="F8" s="7" t="str">
        <x:v>Supporting claim-source references / references reviewed</x:v>
      </x:c>
    </x:row>
    <x:row r="9" ht="42" customHeight="1">
      <x:c r="A9" s="7" t="str">
        <x:v>Citation coverage</x:v>
      </x:c>
      <x:c r="B9" s="17" t="n">
        <x:v>1</x:v>
      </x:c>
      <x:c r="C9" s="7" t="str">
        <x:v>proportion</x:v>
      </x:c>
      <x:c r="D9" s="18"/>
      <x:c r="E9" s="7" t="str">
        <x:f>IF(D9="","Not measured",IF(D9&gt;=B9,"Meets target","Below target"))</x:f>
        <x:v>Not measured</x:v>
      </x:c>
      <x:c r="F9" s="7" t="str">
        <x:v>Factual answers with supporting sources / factual answers</x:v>
      </x:c>
    </x:row>
    <x:row r="10" ht="42" customHeight="1">
      <x:c r="A10" s="7" t="str">
        <x:v>Unsupported handling</x:v>
      </x:c>
      <x:c r="B10" s="17" t="n">
        <x:v>0.9</x:v>
      </x:c>
      <x:c r="C10" s="7" t="str">
        <x:v>proportion</x:v>
      </x:c>
      <x:c r="D10" s="18"/>
      <x:c r="E10" s="7" t="str">
        <x:f>IF(D10="","Not measured",IF(D10&gt;=B10,"Meets target","Below target"))</x:f>
        <x:v>Not measured</x:v>
      </x:c>
      <x:c r="F10" s="7" t="str">
        <x:v>Correct limitation responses / unanswerable questions</x:v>
      </x:c>
    </x:row>
    <x:row r="11" ht="42" customHeight="1">
      <x:c r="A11" s="7" t="str">
        <x:v>Answer latency p95</x:v>
      </x:c>
      <x:c r="B11" s="19" t="n">
        <x:v>10</x:v>
      </x:c>
      <x:c r="C11" s="7" t="str">
        <x:v>seconds</x:v>
      </x:c>
      <x:c r="D11" s="20"/>
      <x:c r="E11" s="7" t="str">
        <x:f>IF(D11="","Not measured",IF(D11&lt;=B11,"Meets target","Below target"))</x:f>
        <x:v>Not measured</x:v>
      </x:c>
      <x:c r="F11" s="7" t="str">
        <x:v>95th percentile from submit to complete answer; indexing excluded</x:v>
      </x:c>
    </x:row>
    <x:row r="12" ht="42" customHeight="1">
      <x:c r="A12" s="7" t="str">
        <x:v>Session isolation</x:v>
      </x:c>
      <x:c r="B12" s="17" t="n">
        <x:v>1</x:v>
      </x:c>
      <x:c r="C12" s="17" t="str">
        <x:v>proportion</x:v>
      </x:c>
      <x:c r="D12" s="18"/>
      <x:c r="E12" s="7" t="str">
        <x:f>IF(D12="","Not measured",IF(D12&gt;=B12,"Meets target","Below target"))</x:f>
        <x:v>Not measured</x:v>
      </x:c>
      <x:c r="F12" s="7" t="str">
        <x:v>Passed isolation tests / defined isolation tests</x:v>
      </x:c>
    </x:row>
    <x:row r="13" ht="42" customHeight="1">
      <x:c r="A13" s="7" t="str">
        <x:v>Reviewer approval</x:v>
      </x:c>
      <x:c r="B13" s="17" t="n">
        <x:v>1</x:v>
      </x:c>
      <x:c r="C13" s="17" t="str">
        <x:v>proportion</x:v>
      </x:c>
      <x:c r="D13" s="18"/>
      <x:c r="E13" s="7" t="str">
        <x:f>IF(D13="","Not measured",IF(D13&gt;=B13,"Meets target","Below target"))</x:f>
        <x:v>Not measured</x:v>
      </x:c>
      <x:c r="F13" s="7" t="str">
        <x:v>Approvals recorded / required reviewers; reviewer list to confirm</x:v>
      </x:c>
    </x:row>
    <x:row r="15">
      <x:c r="A15" t="str">
        <x:v>Enter actual app results only in amber cells. Synthetic retrieval scores are not answer accuracy.</x:v>
      </x:c>
    </x:row>
    <x:row r="17">
      <x:c r="A17" t="str">
        <x:v>Source: proposed evaluation protocol in Week_1_Report.docx.</x:v>
      </x:c>
    </x:row>
  </x:sheetData>
  <x:pageMargins left="0.7" right="0.7" top="0.75" bottom="0.75" header="0.3" footer="0.3"/>
</x:worksheet>
</file>